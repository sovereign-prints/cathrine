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Material Costs" sheetId="2" state="visible" r:id="rId4"/>
    <sheet name="Job Cost Calculator" sheetId="3" state="visible" r:id="rId5"/>
    <sheet name="Price List" sheetId="4" state="visible" r:id="rId6"/>
    <sheet name="Vinyl Yield Plann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<sst xmlns="http://schemas.openxmlformats.org/spreadsheetml/2006/main" count="224" uniqueCount="121">
  <si>
    <t xml:space="preserve">Sovereign Prints — Price List Workbook</t>
  </si>
  <si>
    <t xml:space="preserve">How this workbook is organised</t>
  </si>
  <si>
    <t xml:space="preserve">Material Costs</t>
  </si>
  <si>
    <t xml:space="preserve">Every material you buy — t-shirt blanks, mug blanks, bag blanks, vinyl (by type/colour), board, etc. Each has a cost and a Pricing Unit (Per Item or Per Metre). Edit this tab first — everything else pulls from here.</t>
  </si>
  <si>
    <t xml:space="preserve">Job Cost Calculator</t>
  </si>
  <si>
    <t xml:space="preserve">Works out what a job actually costs: the blank/base material for that product, plus the vinyl or print material used to brand it (by area, if it's a roll material), plus a labour/setup charge that varies by work type. This is your internal cost, not the customer price.</t>
  </si>
  <si>
    <t xml:space="preserve">Price List</t>
  </si>
  <si>
    <t xml:space="preserve">The customer-facing price list. Takes the cost from the calculator and applies your markup % to get a sell price, by work type + material + size. This is the table to print or hand to a customer.</t>
  </si>
  <si>
    <t xml:space="preserve">Vinyl Yield Planner</t>
  </si>
  <si>
    <t xml:space="preserve">Vinyl-specific: your Cricut can only cut about A4 at a time, but vinyl rolls come in 30cm/50cm/60cm+ widths. This works out how many pieces of a design actually fit across the full roll width, and the true cost per piece once you pack the roll properly instead of wasting the extra width.</t>
  </si>
  <si>
    <t xml:space="preserve">Colour key</t>
  </si>
  <si>
    <t xml:space="preserve">Yellow fill, blue text</t>
  </si>
  <si>
    <t xml:space="preserve">A cell you should edit — a cost, a size, a markup %, a new row.</t>
  </si>
  <si>
    <t xml:space="preserve">Black text</t>
  </si>
  <si>
    <t xml:space="preserve">A formula. Don't type over these — they calculate automatically from the yellow cells.</t>
  </si>
  <si>
    <t xml:space="preserve">All figures on every tab are placeholders for you to overwrite with real numbers.</t>
  </si>
  <si>
    <t xml:space="preserve">Material Cost Reference</t>
  </si>
  <si>
    <t xml:space="preserve">Every material you use, in one list — blanks (t-shirts, mugs, bags, caps) and roll goods (vinyl, fabric, board). Set "Pricing Unit" to Per Item for blanks or Per Metre for roll goods bought/cut by length. Add rows as needed — the Job Cost Calculator looks each one up by Material Name, so keep names unique.</t>
  </si>
  <si>
    <t xml:space="preserve">Material Name</t>
  </si>
  <si>
    <t xml:space="preserve">Category</t>
  </si>
  <si>
    <t xml:space="preserve">Pricing Unit</t>
  </si>
  <si>
    <t xml:space="preserve">Cost</t>
  </si>
  <si>
    <t xml:space="preserve">Roll Width (m)</t>
  </si>
  <si>
    <t xml:space="preserve">Colour/Variant</t>
  </si>
  <si>
    <t xml:space="preserve">Notes</t>
  </si>
  <si>
    <t xml:space="preserve">T-Shirt Blank - Cotton</t>
  </si>
  <si>
    <t xml:space="preserve">Blank</t>
  </si>
  <si>
    <t xml:space="preserve">Per Item</t>
  </si>
  <si>
    <t xml:space="preserve">White</t>
  </si>
  <si>
    <t xml:space="preserve">Standard 160gsm cotton</t>
  </si>
  <si>
    <t xml:space="preserve">T-Shirt Blank - Polyester</t>
  </si>
  <si>
    <t xml:space="preserve">Sports/performance fabric</t>
  </si>
  <si>
    <t xml:space="preserve">Mug Blank - Ceramic</t>
  </si>
  <si>
    <t xml:space="preserve">11oz standard</t>
  </si>
  <si>
    <t xml:space="preserve">Bag Blank - Canvas</t>
  </si>
  <si>
    <t xml:space="preserve">Natural</t>
  </si>
  <si>
    <t xml:space="preserve">Standard tote</t>
  </si>
  <si>
    <t xml:space="preserve">Cap Blank - Cotton Twill</t>
  </si>
  <si>
    <t xml:space="preserve">Black</t>
  </si>
  <si>
    <t xml:space="preserve">Correx Board</t>
  </si>
  <si>
    <t xml:space="preserve">A1 sheet, signage backing</t>
  </si>
  <si>
    <t xml:space="preserve">Gloss Vinyl - White</t>
  </si>
  <si>
    <t xml:space="preserve">Vinyl</t>
  </si>
  <si>
    <t xml:space="preserve">Per Metre</t>
  </si>
  <si>
    <t xml:space="preserve">Standard sign/decal vinyl</t>
  </si>
  <si>
    <t xml:space="preserve">Gloss Vinyl - Black</t>
  </si>
  <si>
    <t xml:space="preserve">Matte Vinyl - White</t>
  </si>
  <si>
    <t xml:space="preserve">Reflective Vinyl - Silver</t>
  </si>
  <si>
    <t xml:space="preserve">Silver</t>
  </si>
  <si>
    <t xml:space="preserve">Vehicle/safety signage</t>
  </si>
  <si>
    <t xml:space="preserve">Heat Transfer Vinyl (HTV) - White</t>
  </si>
  <si>
    <t xml:space="preserve">For garment printing</t>
  </si>
  <si>
    <t xml:space="preserve">Heat Transfer Vinyl (HTV) - Black</t>
  </si>
  <si>
    <t xml:space="preserve">Glitter HTV - Gold</t>
  </si>
  <si>
    <t xml:space="preserve">Gold</t>
  </si>
  <si>
    <t xml:space="preserve">Premium garment vinyl</t>
  </si>
  <si>
    <t xml:space="preserve">Chrome Vinyl - Silver</t>
  </si>
  <si>
    <t xml:space="preserve">High-end vehicle branding</t>
  </si>
  <si>
    <t xml:space="preserve">Printable Vinyl - Clear/Gloss</t>
  </si>
  <si>
    <t xml:space="preserve">Clear/Gloss</t>
  </si>
  <si>
    <t xml:space="preserve">Full-colour printed decals</t>
  </si>
  <si>
    <t xml:space="preserve">One row = one job/size combination. Pick the Base Material (the blank being branded) and the Print Material (the vinyl/print material used on it) — both pull cost from the Material Costs tab automatically by name. Enter print dimensions for the Print Material area used. The sheet works out total cost per unit: base material + print material + labour/setup.</t>
  </si>
  <si>
    <t xml:space="preserve">Work Type</t>
  </si>
  <si>
    <t xml:space="preserve">Base Material</t>
  </si>
  <si>
    <t xml:space="preserve">Print Material</t>
  </si>
  <si>
    <t xml:space="preserve">Print Width (m)</t>
  </si>
  <si>
    <t xml:space="preserve">Print Height (m)</t>
  </si>
  <si>
    <t xml:space="preserve">Print Area (m²)</t>
  </si>
  <si>
    <t xml:space="preserve">Base Material Cost</t>
  </si>
  <si>
    <t xml:space="preserve">Print Material Cost</t>
  </si>
  <si>
    <t xml:space="preserve">Setup Fee</t>
  </si>
  <si>
    <t xml:space="preserve">Labour</t>
  </si>
  <si>
    <t xml:space="preserve">Total Cost/Unit</t>
  </si>
  <si>
    <t xml:space="preserve">Labour / Setup Rates by Work Type</t>
  </si>
  <si>
    <t xml:space="preserve">T-Shirt</t>
  </si>
  <si>
    <t xml:space="preserve">Labour per Unit</t>
  </si>
  <si>
    <t xml:space="preserve">Mug</t>
  </si>
  <si>
    <t xml:space="preserve">Bag</t>
  </si>
  <si>
    <t xml:space="preserve">Cap</t>
  </si>
  <si>
    <t xml:space="preserve">Vehicle Branding</t>
  </si>
  <si>
    <t xml:space="preserve">Signage</t>
  </si>
  <si>
    <t xml:space="preserve">Sticker/Decal</t>
  </si>
  <si>
    <t xml:space="preserve">Base Material and Print Material must match a "Material Name" on the Material Costs tab exactly (case and spelling). Tip: to add a job type, insert a row inside the table so formulas copy down, rather than typing below it.</t>
  </si>
  <si>
    <t xml:space="preserve">Customer Price List</t>
  </si>
  <si>
    <t xml:space="preserve">Cost/Unit pulls from the Job Cost Calculator tab automatically (matched on Work Type + Base Material). Set your Markup % per row (yellow) — Sell Price updates on its own.</t>
  </si>
  <si>
    <t xml:space="preserve">Print Size</t>
  </si>
  <si>
    <t xml:space="preserve">Cost / Unit</t>
  </si>
  <si>
    <t xml:space="preserve">Markup %</t>
  </si>
  <si>
    <t xml:space="preserve">Sell Price</t>
  </si>
  <si>
    <t xml:space="preserve">Quote Only?</t>
  </si>
  <si>
    <t xml:space="preserve">25cm x 30cm</t>
  </si>
  <si>
    <t xml:space="preserve">No</t>
  </si>
  <si>
    <t xml:space="preserve">20cm x 9cm wrap</t>
  </si>
  <si>
    <t xml:space="preserve">20cm x 20cm</t>
  </si>
  <si>
    <t xml:space="preserve">10cm x 8cm</t>
  </si>
  <si>
    <t xml:space="preserve">Custom / per m²</t>
  </si>
  <si>
    <t xml:space="preserve">Yes</t>
  </si>
  <si>
    <t xml:space="preserve">Always quote — size varies per vehicle</t>
  </si>
  <si>
    <t xml:space="preserve">Custom</t>
  </si>
  <si>
    <t xml:space="preserve">Quote for large-format jobs</t>
  </si>
  <si>
    <t xml:space="preserve">10cm x 10cm</t>
  </si>
  <si>
    <t xml:space="preserve">For a "Quote Only" product, ignore the calculated Sell Price on the storefront — it is here only as a costing reference for whoever prepares the quote.</t>
  </si>
  <si>
    <t xml:space="preserve">The Cricut's cutting area limits a single cut to roughly A4 (about 21cm x 29.7cm, or ~19.5cm wide once you allow a small trim margin). But vinyl comes in wider rolls (30cm/50cm/60cm+). This works out how many of your design fit side-by-side ACROSS the roll width — cut them in a row, feeding the machine the roll's full width one strip at a time, instead of only ever cutting one A4-wide strip and wasting the rest of the roll's width. Fewer strips fed through = less vinyl used per piece = lower real cost/unit than a simple width x height calc assumes.</t>
  </si>
  <si>
    <t xml:space="preserve">Cutting Machine Limits</t>
  </si>
  <si>
    <t xml:space="preserve">Max cut width (cm)</t>
  </si>
  <si>
    <t xml:space="preserve">Max cut length (cm)</t>
  </si>
  <si>
    <t xml:space="preserve">Note: the Cricut mat/feed width, minus a small trim margin either side.</t>
  </si>
  <si>
    <t xml:space="preserve">Design Name</t>
  </si>
  <si>
    <t xml:space="preserve">Design Width (cm)</t>
  </si>
  <si>
    <t xml:space="preserve">Design Height (cm)</t>
  </si>
  <si>
    <t xml:space="preserve">Roll Width (cm)</t>
  </si>
  <si>
    <t xml:space="preserve">Fits Across?</t>
  </si>
  <si>
    <t xml:space="preserve">Cuts per Row (Width)</t>
  </si>
  <si>
    <t xml:space="preserve">Cuts per Row (Length, per metre of roll)</t>
  </si>
  <si>
    <t xml:space="preserve">Pieces per Metre of Roll</t>
  </si>
  <si>
    <t xml:space="preserve">Cost per Piece</t>
  </si>
  <si>
    <t xml:space="preserve">T-Shirt logo (A5-ish)</t>
  </si>
  <si>
    <t xml:space="preserve">Cap logo (small)</t>
  </si>
  <si>
    <t xml:space="preserve">Sticker (medium)</t>
  </si>
  <si>
    <t xml:space="preserve">Vehicle decal (large)</t>
  </si>
  <si>
    <t xml:space="preserve">How to use: measure your design, pick the roll width you're cutting from, and this tells you how many pieces you actually get per metre of that roll — and the true cost per piece once the roll's full width is packed, not just one Cricut-width strip. Compare 'Cuts per Row (Width)' across different Roll Width values to see which roll width wastes the least material for a given design size.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</si>
</sst>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00"/>
    <numFmt numFmtId="167" formatCode="General"/>
    <numFmt numFmtId="168" formatCode="0.0%"/>
    <numFmt numFmtId="169" formatCode="0.0"/>
    <numFmt numFmtId="170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/>
    </row>
    <row r="4" customFormat="false" ht="54.75" hidden="false" customHeight="true" outlineLevel="0" collapsed="false">
      <c r="A4" s="3" t="s">
        <v>2</v>
      </c>
      <c r="B4" s="4" t="s">
        <v>3</v>
      </c>
    </row>
    <row r="6" customFormat="false" ht="54.75" hidden="false" customHeight="true" outlineLevel="0" collapsed="false">
      <c r="A6" s="3" t="s">
        <v>4</v>
      </c>
      <c r="B6" s="4" t="s">
        <v>5</v>
      </c>
    </row>
    <row r="8" customFormat="false" ht="54.75" hidden="false" customHeight="true" outlineLevel="0" collapsed="false">
      <c r="A8" s="3" t="s">
        <v>6</v>
      </c>
      <c r="B8" s="4" t="s">
        <v>7</v>
      </c>
    </row>
    <row r="10" customFormat="false" ht="54.75" hidden="false" customHeight="true" outlineLevel="0" collapsed="false">
      <c r="A10" s="3" t="s">
        <v>8</v>
      </c>
      <c r="B10" s="4" t="s">
        <v>9</v>
      </c>
    </row>
    <row r="12" customFormat="false" ht="15" hidden="false" customHeight="false" outlineLevel="0" collapsed="false">
      <c r="A12" s="2" t="s">
        <v>10</v>
      </c>
      <c r="B12" s="2"/>
    </row>
    <row r="13" customFormat="false" ht="15" hidden="false" customHeight="false" outlineLevel="0" collapsed="false">
      <c r="A13" s="5" t="s">
        <v>11</v>
      </c>
      <c r="B13" s="6" t="s">
        <v>12</v>
      </c>
    </row>
    <row r="14" customFormat="false" ht="15" hidden="false" customHeight="false" outlineLevel="0" collapsed="false">
      <c r="A14" s="7" t="s">
        <v>13</v>
      </c>
      <c r="B14" s="6" t="s">
        <v>14</v>
      </c>
    </row>
    <row r="16" customFormat="false" ht="15" hidden="false" customHeight="false" outlineLevel="0" collapsed="false">
      <c r="A16" s="8" t="s">
        <v>15</v>
      </c>
      <c r="B16" s="8"/>
    </row>
  </sheetData>
  <mergeCells count="4">
    <mergeCell ref="A1:B1"/>
    <mergeCell ref="A3:B3"/>
    <mergeCell ref="A12:B12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  <c r="F1" s="1"/>
      <c r="G1" s="1"/>
    </row>
    <row r="2" customFormat="false" ht="39.75" hidden="false" customHeight="true" outlineLevel="0" collapsed="false">
      <c r="A2" s="9" t="s">
        <v>17</v>
      </c>
      <c r="B2" s="9"/>
      <c r="C2" s="9"/>
      <c r="D2" s="9"/>
      <c r="E2" s="9"/>
      <c r="F2" s="9"/>
      <c r="G2" s="9"/>
    </row>
    <row r="4" customFormat="false" ht="26.85" hidden="false" customHeight="false" outlineLevel="0" collapsed="false">
      <c r="A4" s="10" t="s">
        <v>18</v>
      </c>
      <c r="B4" s="10" t="s">
        <v>19</v>
      </c>
      <c r="C4" s="10" t="s">
        <v>20</v>
      </c>
      <c r="D4" s="10" t="s">
        <v>21</v>
      </c>
      <c r="E4" s="10" t="s">
        <v>22</v>
      </c>
      <c r="F4" s="10" t="s">
        <v>23</v>
      </c>
      <c r="G4" s="10" t="s">
        <v>24</v>
      </c>
    </row>
    <row r="5" customFormat="false" ht="15" hidden="false" customHeight="false" outlineLevel="0" collapsed="false">
      <c r="A5" s="11" t="s">
        <v>25</v>
      </c>
      <c r="B5" s="11" t="s">
        <v>26</v>
      </c>
      <c r="C5" s="11" t="s">
        <v>27</v>
      </c>
      <c r="D5" s="12" t="n">
        <v>35</v>
      </c>
      <c r="E5" s="11"/>
      <c r="F5" s="11" t="s">
        <v>28</v>
      </c>
      <c r="G5" s="11" t="s">
        <v>29</v>
      </c>
    </row>
    <row r="6" customFormat="false" ht="15" hidden="false" customHeight="false" outlineLevel="0" collapsed="false">
      <c r="A6" s="11" t="s">
        <v>30</v>
      </c>
      <c r="B6" s="11" t="s">
        <v>26</v>
      </c>
      <c r="C6" s="11" t="s">
        <v>27</v>
      </c>
      <c r="D6" s="12" t="n">
        <v>38</v>
      </c>
      <c r="E6" s="11"/>
      <c r="F6" s="11" t="s">
        <v>28</v>
      </c>
      <c r="G6" s="11" t="s">
        <v>31</v>
      </c>
    </row>
    <row r="7" customFormat="false" ht="15" hidden="false" customHeight="false" outlineLevel="0" collapsed="false">
      <c r="A7" s="11" t="s">
        <v>32</v>
      </c>
      <c r="B7" s="11" t="s">
        <v>26</v>
      </c>
      <c r="C7" s="11" t="s">
        <v>27</v>
      </c>
      <c r="D7" s="12" t="n">
        <v>25</v>
      </c>
      <c r="E7" s="11"/>
      <c r="F7" s="11" t="s">
        <v>28</v>
      </c>
      <c r="G7" s="11" t="s">
        <v>33</v>
      </c>
    </row>
    <row r="8" customFormat="false" ht="15" hidden="false" customHeight="false" outlineLevel="0" collapsed="false">
      <c r="A8" s="11" t="s">
        <v>34</v>
      </c>
      <c r="B8" s="11" t="s">
        <v>26</v>
      </c>
      <c r="C8" s="11" t="s">
        <v>27</v>
      </c>
      <c r="D8" s="12" t="n">
        <v>18</v>
      </c>
      <c r="E8" s="11"/>
      <c r="F8" s="11" t="s">
        <v>35</v>
      </c>
      <c r="G8" s="11" t="s">
        <v>36</v>
      </c>
    </row>
    <row r="9" customFormat="false" ht="15" hidden="false" customHeight="false" outlineLevel="0" collapsed="false">
      <c r="A9" s="11" t="s">
        <v>37</v>
      </c>
      <c r="B9" s="11" t="s">
        <v>26</v>
      </c>
      <c r="C9" s="11" t="s">
        <v>27</v>
      </c>
      <c r="D9" s="12" t="n">
        <v>22</v>
      </c>
      <c r="E9" s="11"/>
      <c r="F9" s="11" t="s">
        <v>38</v>
      </c>
      <c r="G9" s="11"/>
    </row>
    <row r="10" customFormat="false" ht="15" hidden="false" customHeight="false" outlineLevel="0" collapsed="false">
      <c r="A10" s="11" t="s">
        <v>39</v>
      </c>
      <c r="B10" s="11" t="s">
        <v>26</v>
      </c>
      <c r="C10" s="11" t="s">
        <v>27</v>
      </c>
      <c r="D10" s="12" t="n">
        <v>45</v>
      </c>
      <c r="E10" s="11"/>
      <c r="F10" s="11" t="s">
        <v>28</v>
      </c>
      <c r="G10" s="11" t="s">
        <v>40</v>
      </c>
    </row>
    <row r="11" customFormat="false" ht="15" hidden="false" customHeight="false" outlineLevel="0" collapsed="false">
      <c r="A11" s="11" t="s">
        <v>41</v>
      </c>
      <c r="B11" s="11" t="s">
        <v>42</v>
      </c>
      <c r="C11" s="11" t="s">
        <v>43</v>
      </c>
      <c r="D11" s="12" t="n">
        <v>45</v>
      </c>
      <c r="E11" s="13" t="n">
        <v>0.61</v>
      </c>
      <c r="F11" s="11" t="s">
        <v>28</v>
      </c>
      <c r="G11" s="11" t="s">
        <v>44</v>
      </c>
    </row>
    <row r="12" customFormat="false" ht="15" hidden="false" customHeight="false" outlineLevel="0" collapsed="false">
      <c r="A12" s="11" t="s">
        <v>45</v>
      </c>
      <c r="B12" s="11" t="s">
        <v>42</v>
      </c>
      <c r="C12" s="11" t="s">
        <v>43</v>
      </c>
      <c r="D12" s="12" t="n">
        <v>45</v>
      </c>
      <c r="E12" s="13" t="n">
        <v>0.61</v>
      </c>
      <c r="F12" s="11" t="s">
        <v>38</v>
      </c>
      <c r="G12" s="11"/>
    </row>
    <row r="13" customFormat="false" ht="15" hidden="false" customHeight="false" outlineLevel="0" collapsed="false">
      <c r="A13" s="11" t="s">
        <v>46</v>
      </c>
      <c r="B13" s="11" t="s">
        <v>42</v>
      </c>
      <c r="C13" s="11" t="s">
        <v>43</v>
      </c>
      <c r="D13" s="12" t="n">
        <v>48</v>
      </c>
      <c r="E13" s="13" t="n">
        <v>0.61</v>
      </c>
      <c r="F13" s="11" t="s">
        <v>28</v>
      </c>
      <c r="G13" s="11"/>
    </row>
    <row r="14" customFormat="false" ht="15" hidden="false" customHeight="false" outlineLevel="0" collapsed="false">
      <c r="A14" s="11" t="s">
        <v>47</v>
      </c>
      <c r="B14" s="11" t="s">
        <v>42</v>
      </c>
      <c r="C14" s="11" t="s">
        <v>43</v>
      </c>
      <c r="D14" s="12" t="n">
        <v>95</v>
      </c>
      <c r="E14" s="13" t="n">
        <v>0.61</v>
      </c>
      <c r="F14" s="11" t="s">
        <v>48</v>
      </c>
      <c r="G14" s="11" t="s">
        <v>49</v>
      </c>
    </row>
    <row r="15" customFormat="false" ht="15" hidden="false" customHeight="false" outlineLevel="0" collapsed="false">
      <c r="A15" s="11" t="s">
        <v>50</v>
      </c>
      <c r="B15" s="11" t="s">
        <v>42</v>
      </c>
      <c r="C15" s="11" t="s">
        <v>43</v>
      </c>
      <c r="D15" s="12" t="n">
        <v>65</v>
      </c>
      <c r="E15" s="13" t="n">
        <v>0.5</v>
      </c>
      <c r="F15" s="11" t="s">
        <v>28</v>
      </c>
      <c r="G15" s="11" t="s">
        <v>51</v>
      </c>
    </row>
    <row r="16" customFormat="false" ht="15" hidden="false" customHeight="false" outlineLevel="0" collapsed="false">
      <c r="A16" s="11" t="s">
        <v>52</v>
      </c>
      <c r="B16" s="11" t="s">
        <v>42</v>
      </c>
      <c r="C16" s="11" t="s">
        <v>43</v>
      </c>
      <c r="D16" s="12" t="n">
        <v>65</v>
      </c>
      <c r="E16" s="13" t="n">
        <v>0.5</v>
      </c>
      <c r="F16" s="11" t="s">
        <v>38</v>
      </c>
      <c r="G16" s="11"/>
    </row>
    <row r="17" customFormat="false" ht="15" hidden="false" customHeight="false" outlineLevel="0" collapsed="false">
      <c r="A17" s="11" t="s">
        <v>53</v>
      </c>
      <c r="B17" s="11" t="s">
        <v>42</v>
      </c>
      <c r="C17" s="11" t="s">
        <v>43</v>
      </c>
      <c r="D17" s="12" t="n">
        <v>110</v>
      </c>
      <c r="E17" s="13" t="n">
        <v>0.5</v>
      </c>
      <c r="F17" s="11" t="s">
        <v>54</v>
      </c>
      <c r="G17" s="11" t="s">
        <v>55</v>
      </c>
    </row>
    <row r="18" customFormat="false" ht="15" hidden="false" customHeight="false" outlineLevel="0" collapsed="false">
      <c r="A18" s="11" t="s">
        <v>56</v>
      </c>
      <c r="B18" s="11" t="s">
        <v>42</v>
      </c>
      <c r="C18" s="11" t="s">
        <v>43</v>
      </c>
      <c r="D18" s="12" t="n">
        <v>150</v>
      </c>
      <c r="E18" s="13" t="n">
        <v>0.61</v>
      </c>
      <c r="F18" s="11" t="s">
        <v>48</v>
      </c>
      <c r="G18" s="11" t="s">
        <v>57</v>
      </c>
    </row>
    <row r="19" customFormat="false" ht="15" hidden="false" customHeight="false" outlineLevel="0" collapsed="false">
      <c r="A19" s="11" t="s">
        <v>58</v>
      </c>
      <c r="B19" s="11" t="s">
        <v>42</v>
      </c>
      <c r="C19" s="11" t="s">
        <v>43</v>
      </c>
      <c r="D19" s="12" t="n">
        <v>55</v>
      </c>
      <c r="E19" s="13" t="n">
        <v>1.37</v>
      </c>
      <c r="F19" s="11" t="s">
        <v>59</v>
      </c>
      <c r="G19" s="11" t="s">
        <v>60</v>
      </c>
    </row>
  </sheetData>
  <mergeCells count="2">
    <mergeCell ref="A1:G1"/>
    <mergeCell ref="A2:G2"/>
  </mergeCells>
  <dataValidations count="15">
    <dataValidation allowBlank="false" errorStyle="stop" operator="between" showDropDown="false" showErrorMessage="false" showInputMessage="false" sqref="C5" type="list">
      <formula1>"Per Item,Per Metre"</formula1>
      <formula2>0</formula2>
    </dataValidation>
    <dataValidation allowBlank="false" errorStyle="stop" operator="between" showDropDown="false" showErrorMessage="false" showInputMessage="false" sqref="C6" type="list">
      <formula1>"Per Item,Per Metre"</formula1>
      <formula2>0</formula2>
    </dataValidation>
    <dataValidation allowBlank="false" errorStyle="stop" operator="between" showDropDown="false" showErrorMessage="false" showInputMessage="false" sqref="C7" type="list">
      <formula1>"Per Item,Per Metre"</formula1>
      <formula2>0</formula2>
    </dataValidation>
    <dataValidation allowBlank="false" errorStyle="stop" operator="between" showDropDown="false" showErrorMessage="false" showInputMessage="false" sqref="C8" type="list">
      <formula1>"Per Item,Per Metre"</formula1>
      <formula2>0</formula2>
    </dataValidation>
    <dataValidation allowBlank="false" errorStyle="stop" operator="between" showDropDown="false" showErrorMessage="false" showInputMessage="false" sqref="C9" type="list">
      <formula1>"Per Item,Per Metre"</formula1>
      <formula2>0</formula2>
    </dataValidation>
    <dataValidation allowBlank="false" errorStyle="stop" operator="between" showDropDown="false" showErrorMessage="false" showInputMessage="false" sqref="C10" type="list">
      <formula1>"Per Item,Per Metre"</formula1>
      <formula2>0</formula2>
    </dataValidation>
    <dataValidation allowBlank="false" errorStyle="stop" operator="between" showDropDown="false" showErrorMessage="false" showInputMessage="false" sqref="C11" type="list">
      <formula1>"Per Item,Per Metre"</formula1>
      <formula2>0</formula2>
    </dataValidation>
    <dataValidation allowBlank="false" errorStyle="stop" operator="between" showDropDown="false" showErrorMessage="false" showInputMessage="false" sqref="C12" type="list">
      <formula1>"Per Item,Per Metre"</formula1>
      <formula2>0</formula2>
    </dataValidation>
    <dataValidation allowBlank="false" errorStyle="stop" operator="between" showDropDown="false" showErrorMessage="false" showInputMessage="false" sqref="C13" type="list">
      <formula1>"Per Item,Per Metre"</formula1>
      <formula2>0</formula2>
    </dataValidation>
    <dataValidation allowBlank="false" errorStyle="stop" operator="between" showDropDown="false" showErrorMessage="false" showInputMessage="false" sqref="C14" type="list">
      <formula1>"Per Item,Per Metre"</formula1>
      <formula2>0</formula2>
    </dataValidation>
    <dataValidation allowBlank="false" errorStyle="stop" operator="between" showDropDown="false" showErrorMessage="false" showInputMessage="false" sqref="C15" type="list">
      <formula1>"Per Item,Per Metre"</formula1>
      <formula2>0</formula2>
    </dataValidation>
    <dataValidation allowBlank="false" errorStyle="stop" operator="between" showDropDown="false" showErrorMessage="false" showInputMessage="false" sqref="C16" type="list">
      <formula1>"Per Item,Per Metre"</formula1>
      <formula2>0</formula2>
    </dataValidation>
    <dataValidation allowBlank="false" errorStyle="stop" operator="between" showDropDown="false" showErrorMessage="false" showInputMessage="false" sqref="C17" type="list">
      <formula1>"Per Item,Per Metre"</formula1>
      <formula2>0</formula2>
    </dataValidation>
    <dataValidation allowBlank="false" errorStyle="stop" operator="between" showDropDown="false" showErrorMessage="false" showInputMessage="false" sqref="C18" type="list">
      <formula1>"Per Item,Per Metre"</formula1>
      <formula2>0</formula2>
    </dataValidation>
    <dataValidation allowBlank="false" errorStyle="stop" operator="between" showDropDown="false" showErrorMessage="false" showInputMessage="false" sqref="C19" type="list">
      <formula1>"Per Item,Per Metre"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6"/>
    <col collapsed="false" customWidth="true" hidden="false" outlineLevel="0" max="14" min="14" style="0" width="4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16"/>
  </cols>
  <sheetData>
    <row r="1" customFormat="false" ht="19.7" hidden="false" customHeight="false" outlineLevel="0" collapsed="false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9.75" hidden="false" customHeight="true" outlineLevel="0" collapsed="false">
      <c r="A2" s="9" t="s">
        <v>61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customFormat="false" ht="26.85" hidden="false" customHeight="false" outlineLevel="0" collapsed="false">
      <c r="A4" s="10" t="s">
        <v>62</v>
      </c>
      <c r="B4" s="10" t="s">
        <v>63</v>
      </c>
      <c r="C4" s="10" t="s">
        <v>64</v>
      </c>
      <c r="D4" s="10" t="s">
        <v>65</v>
      </c>
      <c r="E4" s="10" t="s">
        <v>66</v>
      </c>
      <c r="F4" s="10" t="s">
        <v>67</v>
      </c>
      <c r="G4" s="10" t="s">
        <v>68</v>
      </c>
      <c r="H4" s="10" t="s">
        <v>69</v>
      </c>
      <c r="I4" s="10" t="s">
        <v>70</v>
      </c>
      <c r="J4" s="10" t="s">
        <v>71</v>
      </c>
      <c r="K4" s="10" t="s">
        <v>72</v>
      </c>
      <c r="O4" s="2" t="s">
        <v>73</v>
      </c>
      <c r="P4" s="2"/>
      <c r="Q4" s="2"/>
    </row>
    <row r="5" customFormat="false" ht="15" hidden="false" customHeight="false" outlineLevel="0" collapsed="false">
      <c r="A5" s="11" t="s">
        <v>74</v>
      </c>
      <c r="B5" s="11" t="s">
        <v>25</v>
      </c>
      <c r="C5" s="11" t="s">
        <v>50</v>
      </c>
      <c r="D5" s="13" t="n">
        <v>0.25</v>
      </c>
      <c r="E5" s="13" t="n">
        <v>0.3</v>
      </c>
      <c r="F5" s="14" t="n">
        <f aca="false">D5*E5</f>
        <v>0.075</v>
      </c>
      <c r="G5" s="15" t="n">
        <f aca="false">IFERROR(INDEX('Material Costs'!$D$5:$D$19,MATCH(B5,'Material Costs'!$A$5:$A$19,0)),"No match")</f>
        <v>35</v>
      </c>
      <c r="H5" s="15" t="n">
        <f aca="false">IFERROR(IF(INDEX('Material Costs'!$C$5:$C$19,MATCH(C5,'Material Costs'!$A$5:$A$19,0))="Per Metre",F5*INDEX('Material Costs'!$D$5:$D$19,MATCH(C5,'Material Costs'!$A$5:$A$19,0)),INDEX('Material Costs'!$D$5:$D$19,MATCH(C5,'Material Costs'!$A$5:$A$19,0))),"No match")</f>
        <v>4.875</v>
      </c>
      <c r="I5" s="15" t="n">
        <f aca="false">IFERROR(INDEX($P$6:$P$12,MATCH(A5,$O$6:$O$12,0)),0)</f>
        <v>20</v>
      </c>
      <c r="J5" s="15" t="n">
        <f aca="false">IFERROR(INDEX($Q$6:$Q$12,MATCH(A5,$O$6:$O$12,0)),0)</f>
        <v>15</v>
      </c>
      <c r="K5" s="15" t="n">
        <f aca="false">IF(ISNUMBER(G5),G5,0)+IF(ISNUMBER(H5),H5,0)+I5+J5</f>
        <v>74.875</v>
      </c>
      <c r="O5" s="10" t="s">
        <v>62</v>
      </c>
      <c r="P5" s="10" t="s">
        <v>70</v>
      </c>
      <c r="Q5" s="10" t="s">
        <v>75</v>
      </c>
    </row>
    <row r="6" customFormat="false" ht="15" hidden="false" customHeight="false" outlineLevel="0" collapsed="false">
      <c r="A6" s="11" t="s">
        <v>74</v>
      </c>
      <c r="B6" s="11" t="s">
        <v>30</v>
      </c>
      <c r="C6" s="11" t="s">
        <v>52</v>
      </c>
      <c r="D6" s="13" t="n">
        <v>0.25</v>
      </c>
      <c r="E6" s="13" t="n">
        <v>0.3</v>
      </c>
      <c r="F6" s="14" t="n">
        <f aca="false">D6*E6</f>
        <v>0.075</v>
      </c>
      <c r="G6" s="15" t="n">
        <f aca="false">IFERROR(INDEX('Material Costs'!$D$5:$D$19,MATCH(B6,'Material Costs'!$A$5:$A$19,0)),"No match")</f>
        <v>38</v>
      </c>
      <c r="H6" s="15" t="n">
        <f aca="false">IFERROR(IF(INDEX('Material Costs'!$C$5:$C$19,MATCH(C6,'Material Costs'!$A$5:$A$19,0))="Per Metre",F6*INDEX('Material Costs'!$D$5:$D$19,MATCH(C6,'Material Costs'!$A$5:$A$19,0)),INDEX('Material Costs'!$D$5:$D$19,MATCH(C6,'Material Costs'!$A$5:$A$19,0))),"No match")</f>
        <v>4.875</v>
      </c>
      <c r="I6" s="15" t="n">
        <f aca="false">IFERROR(INDEX($P$6:$P$12,MATCH(A6,$O$6:$O$12,0)),0)</f>
        <v>20</v>
      </c>
      <c r="J6" s="15" t="n">
        <f aca="false">IFERROR(INDEX($Q$6:$Q$12,MATCH(A6,$O$6:$O$12,0)),0)</f>
        <v>15</v>
      </c>
      <c r="K6" s="15" t="n">
        <f aca="false">IF(ISNUMBER(G6),G6,0)+IF(ISNUMBER(H6),H6,0)+I6+J6</f>
        <v>77.875</v>
      </c>
      <c r="O6" s="11" t="s">
        <v>74</v>
      </c>
      <c r="P6" s="12" t="n">
        <v>20</v>
      </c>
      <c r="Q6" s="12" t="n">
        <v>15</v>
      </c>
    </row>
    <row r="7" customFormat="false" ht="15" hidden="false" customHeight="false" outlineLevel="0" collapsed="false">
      <c r="A7" s="11" t="s">
        <v>76</v>
      </c>
      <c r="B7" s="11" t="s">
        <v>32</v>
      </c>
      <c r="C7" s="11" t="s">
        <v>58</v>
      </c>
      <c r="D7" s="13" t="n">
        <v>0.2</v>
      </c>
      <c r="E7" s="13" t="n">
        <v>0.09</v>
      </c>
      <c r="F7" s="14" t="n">
        <f aca="false">D7*E7</f>
        <v>0.018</v>
      </c>
      <c r="G7" s="15" t="n">
        <f aca="false">IFERROR(INDEX('Material Costs'!$D$5:$D$19,MATCH(B7,'Material Costs'!$A$5:$A$19,0)),"No match")</f>
        <v>25</v>
      </c>
      <c r="H7" s="15" t="n">
        <f aca="false">IFERROR(IF(INDEX('Material Costs'!$C$5:$C$19,MATCH(C7,'Material Costs'!$A$5:$A$19,0))="Per Metre",F7*INDEX('Material Costs'!$D$5:$D$19,MATCH(C7,'Material Costs'!$A$5:$A$19,0)),INDEX('Material Costs'!$D$5:$D$19,MATCH(C7,'Material Costs'!$A$5:$A$19,0))),"No match")</f>
        <v>0.99</v>
      </c>
      <c r="I7" s="15" t="n">
        <f aca="false">IFERROR(INDEX($P$6:$P$12,MATCH(A7,$O$6:$O$12,0)),0)</f>
        <v>10</v>
      </c>
      <c r="J7" s="15" t="n">
        <f aca="false">IFERROR(INDEX($Q$6:$Q$12,MATCH(A7,$O$6:$O$12,0)),0)</f>
        <v>8</v>
      </c>
      <c r="K7" s="15" t="n">
        <f aca="false">IF(ISNUMBER(G7),G7,0)+IF(ISNUMBER(H7),H7,0)+I7+J7</f>
        <v>43.99</v>
      </c>
      <c r="O7" s="11" t="s">
        <v>76</v>
      </c>
      <c r="P7" s="12" t="n">
        <v>10</v>
      </c>
      <c r="Q7" s="12" t="n">
        <v>8</v>
      </c>
    </row>
    <row r="8" customFormat="false" ht="15" hidden="false" customHeight="false" outlineLevel="0" collapsed="false">
      <c r="A8" s="11" t="s">
        <v>77</v>
      </c>
      <c r="B8" s="11" t="s">
        <v>34</v>
      </c>
      <c r="C8" s="11" t="s">
        <v>52</v>
      </c>
      <c r="D8" s="13" t="n">
        <v>0.2</v>
      </c>
      <c r="E8" s="13" t="n">
        <v>0.2</v>
      </c>
      <c r="F8" s="14" t="n">
        <f aca="false">D8*E8</f>
        <v>0.04</v>
      </c>
      <c r="G8" s="15" t="n">
        <f aca="false">IFERROR(INDEX('Material Costs'!$D$5:$D$19,MATCH(B8,'Material Costs'!$A$5:$A$19,0)),"No match")</f>
        <v>18</v>
      </c>
      <c r="H8" s="15" t="n">
        <f aca="false">IFERROR(IF(INDEX('Material Costs'!$C$5:$C$19,MATCH(C8,'Material Costs'!$A$5:$A$19,0))="Per Metre",F8*INDEX('Material Costs'!$D$5:$D$19,MATCH(C8,'Material Costs'!$A$5:$A$19,0)),INDEX('Material Costs'!$D$5:$D$19,MATCH(C8,'Material Costs'!$A$5:$A$19,0))),"No match")</f>
        <v>2.6</v>
      </c>
      <c r="I8" s="15" t="n">
        <f aca="false">IFERROR(INDEX($P$6:$P$12,MATCH(A8,$O$6:$O$12,0)),0)</f>
        <v>15</v>
      </c>
      <c r="J8" s="15" t="n">
        <f aca="false">IFERROR(INDEX($Q$6:$Q$12,MATCH(A8,$O$6:$O$12,0)),0)</f>
        <v>12</v>
      </c>
      <c r="K8" s="15" t="n">
        <f aca="false">IF(ISNUMBER(G8),G8,0)+IF(ISNUMBER(H8),H8,0)+I8+J8</f>
        <v>47.6</v>
      </c>
      <c r="O8" s="11" t="s">
        <v>77</v>
      </c>
      <c r="P8" s="12" t="n">
        <v>15</v>
      </c>
      <c r="Q8" s="12" t="n">
        <v>12</v>
      </c>
    </row>
    <row r="9" customFormat="false" ht="15" hidden="false" customHeight="false" outlineLevel="0" collapsed="false">
      <c r="A9" s="11" t="s">
        <v>78</v>
      </c>
      <c r="B9" s="11" t="s">
        <v>37</v>
      </c>
      <c r="C9" s="11" t="s">
        <v>50</v>
      </c>
      <c r="D9" s="13" t="n">
        <v>0.1</v>
      </c>
      <c r="E9" s="13" t="n">
        <v>0.08</v>
      </c>
      <c r="F9" s="14" t="n">
        <f aca="false">D9*E9</f>
        <v>0.008</v>
      </c>
      <c r="G9" s="15" t="n">
        <f aca="false">IFERROR(INDEX('Material Costs'!$D$5:$D$19,MATCH(B9,'Material Costs'!$A$5:$A$19,0)),"No match")</f>
        <v>22</v>
      </c>
      <c r="H9" s="15" t="n">
        <f aca="false">IFERROR(IF(INDEX('Material Costs'!$C$5:$C$19,MATCH(C9,'Material Costs'!$A$5:$A$19,0))="Per Metre",F9*INDEX('Material Costs'!$D$5:$D$19,MATCH(C9,'Material Costs'!$A$5:$A$19,0)),INDEX('Material Costs'!$D$5:$D$19,MATCH(C9,'Material Costs'!$A$5:$A$19,0))),"No match")</f>
        <v>0.52</v>
      </c>
      <c r="I9" s="15" t="n">
        <f aca="false">IFERROR(INDEX($P$6:$P$12,MATCH(A9,$O$6:$O$12,0)),0)</f>
        <v>15</v>
      </c>
      <c r="J9" s="15" t="n">
        <f aca="false">IFERROR(INDEX($Q$6:$Q$12,MATCH(A9,$O$6:$O$12,0)),0)</f>
        <v>10</v>
      </c>
      <c r="K9" s="15" t="n">
        <f aca="false">IF(ISNUMBER(G9),G9,0)+IF(ISNUMBER(H9),H9,0)+I9+J9</f>
        <v>47.52</v>
      </c>
      <c r="O9" s="11" t="s">
        <v>78</v>
      </c>
      <c r="P9" s="12" t="n">
        <v>15</v>
      </c>
      <c r="Q9" s="12" t="n">
        <v>10</v>
      </c>
    </row>
    <row r="10" customFormat="false" ht="15" hidden="false" customHeight="false" outlineLevel="0" collapsed="false">
      <c r="A10" s="11" t="s">
        <v>79</v>
      </c>
      <c r="B10" s="11" t="s">
        <v>56</v>
      </c>
      <c r="C10" s="11" t="s">
        <v>47</v>
      </c>
      <c r="D10" s="13" t="n">
        <v>1.2</v>
      </c>
      <c r="E10" s="13" t="n">
        <v>0.6</v>
      </c>
      <c r="F10" s="14" t="n">
        <f aca="false">D10*E10</f>
        <v>0.72</v>
      </c>
      <c r="G10" s="15" t="n">
        <f aca="false">IFERROR(INDEX('Material Costs'!$D$5:$D$19,MATCH(B10,'Material Costs'!$A$5:$A$19,0)),"No match")</f>
        <v>150</v>
      </c>
      <c r="H10" s="15" t="n">
        <f aca="false">IFERROR(IF(INDEX('Material Costs'!$C$5:$C$19,MATCH(C10,'Material Costs'!$A$5:$A$19,0))="Per Metre",F10*INDEX('Material Costs'!$D$5:$D$19,MATCH(C10,'Material Costs'!$A$5:$A$19,0)),INDEX('Material Costs'!$D$5:$D$19,MATCH(C10,'Material Costs'!$A$5:$A$19,0))),"No match")</f>
        <v>68.4</v>
      </c>
      <c r="I10" s="15" t="n">
        <f aca="false">IFERROR(INDEX($P$6:$P$12,MATCH(A10,$O$6:$O$12,0)),0)</f>
        <v>150</v>
      </c>
      <c r="J10" s="15" t="n">
        <f aca="false">IFERROR(INDEX($Q$6:$Q$12,MATCH(A10,$O$6:$O$12,0)),0)</f>
        <v>80</v>
      </c>
      <c r="K10" s="15" t="n">
        <f aca="false">IF(ISNUMBER(G10),G10,0)+IF(ISNUMBER(H10),H10,0)+I10+J10</f>
        <v>448.4</v>
      </c>
      <c r="O10" s="11" t="s">
        <v>79</v>
      </c>
      <c r="P10" s="12" t="n">
        <v>150</v>
      </c>
      <c r="Q10" s="12" t="n">
        <v>80</v>
      </c>
    </row>
    <row r="11" customFormat="false" ht="15" hidden="false" customHeight="false" outlineLevel="0" collapsed="false">
      <c r="A11" s="11" t="s">
        <v>80</v>
      </c>
      <c r="B11" s="11" t="s">
        <v>39</v>
      </c>
      <c r="C11" s="11" t="s">
        <v>41</v>
      </c>
      <c r="D11" s="13" t="n">
        <v>0.6</v>
      </c>
      <c r="E11" s="13" t="n">
        <v>0.6</v>
      </c>
      <c r="F11" s="14" t="n">
        <f aca="false">D11*E11</f>
        <v>0.36</v>
      </c>
      <c r="G11" s="15" t="n">
        <f aca="false">IFERROR(INDEX('Material Costs'!$D$5:$D$19,MATCH(B11,'Material Costs'!$A$5:$A$19,0)),"No match")</f>
        <v>45</v>
      </c>
      <c r="H11" s="15" t="n">
        <f aca="false">IFERROR(IF(INDEX('Material Costs'!$C$5:$C$19,MATCH(C11,'Material Costs'!$A$5:$A$19,0))="Per Metre",F11*INDEX('Material Costs'!$D$5:$D$19,MATCH(C11,'Material Costs'!$A$5:$A$19,0)),INDEX('Material Costs'!$D$5:$D$19,MATCH(C11,'Material Costs'!$A$5:$A$19,0))),"No match")</f>
        <v>16.2</v>
      </c>
      <c r="I11" s="15" t="n">
        <f aca="false">IFERROR(INDEX($P$6:$P$12,MATCH(A11,$O$6:$O$12,0)),0)</f>
        <v>100</v>
      </c>
      <c r="J11" s="15" t="n">
        <f aca="false">IFERROR(INDEX($Q$6:$Q$12,MATCH(A11,$O$6:$O$12,0)),0)</f>
        <v>50</v>
      </c>
      <c r="K11" s="15" t="n">
        <f aca="false">IF(ISNUMBER(G11),G11,0)+IF(ISNUMBER(H11),H11,0)+I11+J11</f>
        <v>211.2</v>
      </c>
      <c r="O11" s="11" t="s">
        <v>80</v>
      </c>
      <c r="P11" s="12" t="n">
        <v>100</v>
      </c>
      <c r="Q11" s="12" t="n">
        <v>50</v>
      </c>
    </row>
    <row r="12" customFormat="false" ht="15" hidden="false" customHeight="false" outlineLevel="0" collapsed="false">
      <c r="A12" s="11" t="s">
        <v>81</v>
      </c>
      <c r="B12" s="11" t="s">
        <v>58</v>
      </c>
      <c r="C12" s="11" t="s">
        <v>58</v>
      </c>
      <c r="D12" s="13" t="n">
        <v>0.1</v>
      </c>
      <c r="E12" s="13" t="n">
        <v>0.1</v>
      </c>
      <c r="F12" s="14" t="n">
        <f aca="false">D12*E12</f>
        <v>0.01</v>
      </c>
      <c r="G12" s="15" t="n">
        <f aca="false">IFERROR(INDEX('Material Costs'!$D$5:$D$19,MATCH(B12,'Material Costs'!$A$5:$A$19,0)),"No match")</f>
        <v>55</v>
      </c>
      <c r="H12" s="15" t="n">
        <f aca="false">IFERROR(IF(INDEX('Material Costs'!$C$5:$C$19,MATCH(C12,'Material Costs'!$A$5:$A$19,0))="Per Metre",F12*INDEX('Material Costs'!$D$5:$D$19,MATCH(C12,'Material Costs'!$A$5:$A$19,0)),INDEX('Material Costs'!$D$5:$D$19,MATCH(C12,'Material Costs'!$A$5:$A$19,0))),"No match")</f>
        <v>0.55</v>
      </c>
      <c r="I12" s="15" t="n">
        <f aca="false">IFERROR(INDEX($P$6:$P$12,MATCH(A12,$O$6:$O$12,0)),0)</f>
        <v>5</v>
      </c>
      <c r="J12" s="15" t="n">
        <f aca="false">IFERROR(INDEX($Q$6:$Q$12,MATCH(A12,$O$6:$O$12,0)),0)</f>
        <v>3</v>
      </c>
      <c r="K12" s="15" t="n">
        <f aca="false">IF(ISNUMBER(G12),G12,0)+IF(ISNUMBER(H12),H12,0)+I12+J12</f>
        <v>63.55</v>
      </c>
      <c r="O12" s="11" t="s">
        <v>81</v>
      </c>
      <c r="P12" s="12" t="n">
        <v>5</v>
      </c>
      <c r="Q12" s="12" t="n">
        <v>3</v>
      </c>
    </row>
    <row r="14" customFormat="false" ht="27.75" hidden="false" customHeight="true" outlineLevel="0" collapsed="false">
      <c r="A14" s="9" t="s">
        <v>82</v>
      </c>
      <c r="B14" s="9"/>
      <c r="C14" s="9"/>
      <c r="D14" s="9"/>
      <c r="E14" s="9"/>
      <c r="F14" s="9"/>
      <c r="G14" s="9"/>
      <c r="H14" s="9"/>
      <c r="I14" s="9"/>
      <c r="J14" s="9"/>
      <c r="K14" s="9"/>
    </row>
  </sheetData>
  <mergeCells count="4">
    <mergeCell ref="A1:M1"/>
    <mergeCell ref="A2:M2"/>
    <mergeCell ref="O4:Q4"/>
    <mergeCell ref="A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83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8" t="s">
        <v>84</v>
      </c>
      <c r="B2" s="8"/>
      <c r="C2" s="8"/>
      <c r="D2" s="8"/>
      <c r="E2" s="8"/>
      <c r="F2" s="8"/>
      <c r="G2" s="8"/>
      <c r="H2" s="8"/>
    </row>
    <row r="4" customFormat="false" ht="15" hidden="false" customHeight="false" outlineLevel="0" collapsed="false">
      <c r="A4" s="10" t="s">
        <v>62</v>
      </c>
      <c r="B4" s="10" t="s">
        <v>63</v>
      </c>
      <c r="C4" s="10" t="s">
        <v>85</v>
      </c>
      <c r="D4" s="10" t="s">
        <v>86</v>
      </c>
      <c r="E4" s="10" t="s">
        <v>87</v>
      </c>
      <c r="F4" s="10" t="s">
        <v>88</v>
      </c>
      <c r="G4" s="10" t="s">
        <v>89</v>
      </c>
      <c r="H4" s="10" t="s">
        <v>24</v>
      </c>
    </row>
    <row r="5" customFormat="false" ht="15" hidden="false" customHeight="false" outlineLevel="0" collapsed="false">
      <c r="A5" s="11" t="s">
        <v>74</v>
      </c>
      <c r="B5" s="11" t="s">
        <v>25</v>
      </c>
      <c r="C5" s="11" t="s">
        <v>90</v>
      </c>
      <c r="D5" s="15" t="n">
        <f aca="false">IFERROR(INDEX('Job Cost Calculator'!$K$5:$K$12,MATCH(1,('Job Cost Calculator'!$A$5:$A$12=A5)*('Job Cost Calculator'!$B$5:$B$12=B5),0)),"No match")</f>
        <v>74.875</v>
      </c>
      <c r="E5" s="16" t="n">
        <v>0.6</v>
      </c>
      <c r="F5" s="15" t="n">
        <f aca="false">IF(ISNUMBER(D5),D5*(1+E5),"—")</f>
        <v>119.8</v>
      </c>
      <c r="G5" s="11" t="s">
        <v>91</v>
      </c>
      <c r="H5" s="11"/>
    </row>
    <row r="6" customFormat="false" ht="15" hidden="false" customHeight="false" outlineLevel="0" collapsed="false">
      <c r="A6" s="11" t="s">
        <v>74</v>
      </c>
      <c r="B6" s="11" t="s">
        <v>30</v>
      </c>
      <c r="C6" s="11" t="s">
        <v>90</v>
      </c>
      <c r="D6" s="15" t="n">
        <f aca="false">IFERROR(INDEX('Job Cost Calculator'!$K$5:$K$12,MATCH(1,('Job Cost Calculator'!$A$5:$A$12=A6)*('Job Cost Calculator'!$B$5:$B$12=B6),0)),"No match")</f>
        <v>77.875</v>
      </c>
      <c r="E6" s="16" t="n">
        <v>0.6</v>
      </c>
      <c r="F6" s="15" t="n">
        <f aca="false">IF(ISNUMBER(D6),D6*(1+E6),"—")</f>
        <v>124.6</v>
      </c>
      <c r="G6" s="11" t="s">
        <v>91</v>
      </c>
      <c r="H6" s="11"/>
    </row>
    <row r="7" customFormat="false" ht="15" hidden="false" customHeight="false" outlineLevel="0" collapsed="false">
      <c r="A7" s="11" t="s">
        <v>76</v>
      </c>
      <c r="B7" s="11" t="s">
        <v>32</v>
      </c>
      <c r="C7" s="11" t="s">
        <v>92</v>
      </c>
      <c r="D7" s="15" t="n">
        <f aca="false">IFERROR(INDEX('Job Cost Calculator'!$K$5:$K$12,MATCH(1,('Job Cost Calculator'!$A$5:$A$12=A7)*('Job Cost Calculator'!$B$5:$B$12=B7),0)),"No match")</f>
        <v>43.99</v>
      </c>
      <c r="E7" s="16" t="n">
        <v>0.8</v>
      </c>
      <c r="F7" s="15" t="n">
        <f aca="false">IF(ISNUMBER(D7),D7*(1+E7),"—")</f>
        <v>79.182</v>
      </c>
      <c r="G7" s="11" t="s">
        <v>91</v>
      </c>
      <c r="H7" s="11"/>
    </row>
    <row r="8" customFormat="false" ht="15" hidden="false" customHeight="false" outlineLevel="0" collapsed="false">
      <c r="A8" s="11" t="s">
        <v>77</v>
      </c>
      <c r="B8" s="11" t="s">
        <v>34</v>
      </c>
      <c r="C8" s="11" t="s">
        <v>93</v>
      </c>
      <c r="D8" s="15" t="n">
        <f aca="false">IFERROR(INDEX('Job Cost Calculator'!$K$5:$K$12,MATCH(1,('Job Cost Calculator'!$A$5:$A$12=A8)*('Job Cost Calculator'!$B$5:$B$12=B8),0)),"No match")</f>
        <v>47.6</v>
      </c>
      <c r="E8" s="16" t="n">
        <v>0.6</v>
      </c>
      <c r="F8" s="15" t="n">
        <f aca="false">IF(ISNUMBER(D8),D8*(1+E8),"—")</f>
        <v>76.16</v>
      </c>
      <c r="G8" s="11" t="s">
        <v>91</v>
      </c>
      <c r="H8" s="11"/>
    </row>
    <row r="9" customFormat="false" ht="15" hidden="false" customHeight="false" outlineLevel="0" collapsed="false">
      <c r="A9" s="11" t="s">
        <v>78</v>
      </c>
      <c r="B9" s="11" t="s">
        <v>37</v>
      </c>
      <c r="C9" s="11" t="s">
        <v>94</v>
      </c>
      <c r="D9" s="15" t="n">
        <f aca="false">IFERROR(INDEX('Job Cost Calculator'!$K$5:$K$12,MATCH(1,('Job Cost Calculator'!$A$5:$A$12=A9)*('Job Cost Calculator'!$B$5:$B$12=B9),0)),"No match")</f>
        <v>47.52</v>
      </c>
      <c r="E9" s="16" t="n">
        <v>0.65</v>
      </c>
      <c r="F9" s="15" t="n">
        <f aca="false">IF(ISNUMBER(D9),D9*(1+E9),"—")</f>
        <v>78.408</v>
      </c>
      <c r="G9" s="11" t="s">
        <v>91</v>
      </c>
      <c r="H9" s="11"/>
    </row>
    <row r="10" customFormat="false" ht="15" hidden="false" customHeight="false" outlineLevel="0" collapsed="false">
      <c r="A10" s="11" t="s">
        <v>79</v>
      </c>
      <c r="B10" s="11" t="s">
        <v>56</v>
      </c>
      <c r="C10" s="11" t="s">
        <v>95</v>
      </c>
      <c r="D10" s="15" t="n">
        <f aca="false">IFERROR(INDEX('Job Cost Calculator'!$K$5:$K$12,MATCH(1,('Job Cost Calculator'!$A$5:$A$12=A10)*('Job Cost Calculator'!$B$5:$B$12=B10),0)),"No match")</f>
        <v>448.4</v>
      </c>
      <c r="E10" s="16" t="n">
        <v>0.5</v>
      </c>
      <c r="F10" s="15" t="n">
        <f aca="false">IF(ISNUMBER(D10),D10*(1+E10),"—")</f>
        <v>672.6</v>
      </c>
      <c r="G10" s="11" t="s">
        <v>96</v>
      </c>
      <c r="H10" s="11" t="s">
        <v>97</v>
      </c>
    </row>
    <row r="11" customFormat="false" ht="15" hidden="false" customHeight="false" outlineLevel="0" collapsed="false">
      <c r="A11" s="11" t="s">
        <v>80</v>
      </c>
      <c r="B11" s="11" t="s">
        <v>39</v>
      </c>
      <c r="C11" s="11" t="s">
        <v>98</v>
      </c>
      <c r="D11" s="15" t="n">
        <f aca="false">IFERROR(INDEX('Job Cost Calculator'!$K$5:$K$12,MATCH(1,('Job Cost Calculator'!$A$5:$A$12=A11)*('Job Cost Calculator'!$B$5:$B$12=B11),0)),"No match")</f>
        <v>211.2</v>
      </c>
      <c r="E11" s="16" t="n">
        <v>0.55</v>
      </c>
      <c r="F11" s="15" t="n">
        <f aca="false">IF(ISNUMBER(D11),D11*(1+E11),"—")</f>
        <v>327.36</v>
      </c>
      <c r="G11" s="11" t="s">
        <v>96</v>
      </c>
      <c r="H11" s="11" t="s">
        <v>99</v>
      </c>
    </row>
    <row r="12" customFormat="false" ht="15" hidden="false" customHeight="false" outlineLevel="0" collapsed="false">
      <c r="A12" s="11" t="s">
        <v>81</v>
      </c>
      <c r="B12" s="11" t="s">
        <v>58</v>
      </c>
      <c r="C12" s="11" t="s">
        <v>100</v>
      </c>
      <c r="D12" s="15" t="n">
        <f aca="false">IFERROR(INDEX('Job Cost Calculator'!$K$5:$K$12,MATCH(1,('Job Cost Calculator'!$A$5:$A$12=A12)*('Job Cost Calculator'!$B$5:$B$12=B12),0)),"No match")</f>
        <v>63.55</v>
      </c>
      <c r="E12" s="16" t="n">
        <v>0.7</v>
      </c>
      <c r="F12" s="15" t="n">
        <f aca="false">IF(ISNUMBER(D12),D12*(1+E12),"—")</f>
        <v>108.035</v>
      </c>
      <c r="G12" s="11" t="s">
        <v>91</v>
      </c>
      <c r="H12" s="11"/>
    </row>
    <row r="14" customFormat="false" ht="15" hidden="false" customHeight="true" outlineLevel="0" collapsed="false">
      <c r="A14" s="9" t="s">
        <v>101</v>
      </c>
      <c r="B14" s="9"/>
      <c r="C14" s="9"/>
      <c r="D14" s="9"/>
      <c r="E14" s="9"/>
      <c r="F14" s="9"/>
      <c r="G14" s="9"/>
      <c r="H14" s="9"/>
    </row>
  </sheetData>
  <mergeCells count="3">
    <mergeCell ref="A1:H1"/>
    <mergeCell ref="A2:H2"/>
    <mergeCell ref="A14:H14"/>
  </mergeCells>
  <dataValidations count="8">
    <dataValidation allowBlank="true" errorStyle="stop" operator="between" showDropDown="false" showErrorMessage="false" showInputMessage="false" sqref="G5" type="list">
      <formula1>"Yes,No"</formula1>
      <formula2>0</formula2>
    </dataValidation>
    <dataValidation allowBlank="true" errorStyle="stop" operator="between" showDropDown="false" showErrorMessage="false" showInputMessage="false" sqref="G6" type="list">
      <formula1>"Yes,No"</formula1>
      <formula2>0</formula2>
    </dataValidation>
    <dataValidation allowBlank="true" errorStyle="stop" operator="between" showDropDown="false" showErrorMessage="false" showInputMessage="false" sqref="G7" type="list">
      <formula1>"Yes,No"</formula1>
      <formula2>0</formula2>
    </dataValidation>
    <dataValidation allowBlank="true" errorStyle="stop" operator="between" showDropDown="false" showErrorMessage="false" showInputMessage="false" sqref="G8" type="list">
      <formula1>"Yes,No"</formula1>
      <formula2>0</formula2>
    </dataValidation>
    <dataValidation allowBlank="true" errorStyle="stop" operator="between" showDropDown="false" showErrorMessage="false" showInputMessage="false" sqref="G9" type="list">
      <formula1>"Yes,No"</formula1>
      <formula2>0</formula2>
    </dataValidation>
    <dataValidation allowBlank="true" errorStyle="stop" operator="between" showDropDown="false" showErrorMessage="false" showInputMessage="false" sqref="G10" type="list">
      <formula1>"Yes,No"</formula1>
      <formula2>0</formula2>
    </dataValidation>
    <dataValidation allowBlank="true" errorStyle="stop" operator="between" showDropDown="false" showErrorMessage="false" showInputMessage="false" sqref="G11" type="list">
      <formula1>"Yes,No"</formula1>
      <formula2>0</formula2>
    </dataValidation>
    <dataValidation allowBlank="true" errorStyle="stop" operator="between" showDropDown="false" showErrorMessage="false" showInputMessage="false" sqref="G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22"/>
    <col collapsed="false" customWidth="true" hidden="false" outlineLevel="0" max="11" min="10" style="0" width="16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60" hidden="false" customHeight="true" outlineLevel="0" collapsed="false">
      <c r="A2" s="17" t="s">
        <v>102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customFormat="false" ht="15" hidden="false" customHeight="false" outlineLevel="0" collapsed="false">
      <c r="A4" s="2" t="s">
        <v>103</v>
      </c>
      <c r="B4" s="2"/>
    </row>
    <row r="5" customFormat="false" ht="15" hidden="false" customHeight="false" outlineLevel="0" collapsed="false">
      <c r="A5" s="7" t="s">
        <v>104</v>
      </c>
      <c r="B5" s="18" t="n">
        <v>19.5</v>
      </c>
    </row>
    <row r="6" customFormat="false" ht="15" hidden="false" customHeight="false" outlineLevel="0" collapsed="false">
      <c r="A6" s="7" t="s">
        <v>105</v>
      </c>
      <c r="B6" s="18" t="n">
        <v>29.7</v>
      </c>
    </row>
    <row r="7" customFormat="false" ht="15" hidden="false" customHeight="false" outlineLevel="0" collapsed="false">
      <c r="A7" s="8" t="s">
        <v>106</v>
      </c>
      <c r="B7" s="8"/>
      <c r="C7" s="8"/>
      <c r="D7" s="8"/>
    </row>
    <row r="9" customFormat="false" ht="39.55" hidden="false" customHeight="false" outlineLevel="0" collapsed="false">
      <c r="A9" s="10" t="s">
        <v>107</v>
      </c>
      <c r="B9" s="10" t="s">
        <v>108</v>
      </c>
      <c r="C9" s="10" t="s">
        <v>109</v>
      </c>
      <c r="D9" s="10" t="s">
        <v>110</v>
      </c>
      <c r="E9" s="10" t="s">
        <v>111</v>
      </c>
      <c r="F9" s="10" t="s">
        <v>112</v>
      </c>
      <c r="G9" s="10" t="s">
        <v>113</v>
      </c>
      <c r="H9" s="10" t="s">
        <v>114</v>
      </c>
      <c r="I9" s="10" t="s">
        <v>18</v>
      </c>
      <c r="J9" s="10" t="s">
        <v>23</v>
      </c>
      <c r="K9" s="10" t="s">
        <v>115</v>
      </c>
      <c r="L9" s="10" t="s">
        <v>24</v>
      </c>
    </row>
    <row r="10" customFormat="false" ht="15" hidden="false" customHeight="false" outlineLevel="0" collapsed="false">
      <c r="A10" s="11" t="s">
        <v>116</v>
      </c>
      <c r="B10" s="18" t="n">
        <v>15</v>
      </c>
      <c r="C10" s="18" t="n">
        <v>20</v>
      </c>
      <c r="D10" s="18" t="n">
        <v>50</v>
      </c>
      <c r="E10" s="19" t="str">
        <f aca="false">IF(OR(AND(B10&lt;=$B$5,C10&lt;=$B$6),AND(C10&lt;=$B$5,B10&lt;=$B$6)),"Yes","No — exceeds machine limit")</f>
        <v>Yes</v>
      </c>
      <c r="F10" s="19" t="n">
        <f aca="false">IF(E10="Yes",IF(AND(B10&lt;=$B$5,C10&lt;=$B$6),INT(D10/B10),INT(D10/C10)),0)</f>
        <v>3</v>
      </c>
      <c r="G10" s="19" t="n">
        <f aca="false">IF(E10="Yes",IF(AND(B10&lt;=$B$5,C10&lt;=$B$6),INT(100/C10),INT(100/B10)),0)</f>
        <v>5</v>
      </c>
      <c r="H10" s="20" t="n">
        <f aca="false">F10*G10</f>
        <v>15</v>
      </c>
      <c r="I10" s="11" t="s">
        <v>47</v>
      </c>
      <c r="J10" s="11" t="s">
        <v>48</v>
      </c>
      <c r="K10" s="15" t="n">
        <f aca="false">IFERROR(IF(H10&gt;0,INDEX('Material Costs'!$D$5:$D$19,MATCH(I10,'Material Costs'!$A$5:$A$19,0))/H10,"n/a"),"No match")</f>
        <v>6.33333333333333</v>
      </c>
      <c r="L10" s="11"/>
    </row>
    <row r="11" customFormat="false" ht="15" hidden="false" customHeight="false" outlineLevel="0" collapsed="false">
      <c r="A11" s="11" t="s">
        <v>116</v>
      </c>
      <c r="B11" s="18" t="n">
        <v>15</v>
      </c>
      <c r="C11" s="18" t="n">
        <v>20</v>
      </c>
      <c r="D11" s="18" t="n">
        <v>30</v>
      </c>
      <c r="E11" s="19" t="str">
        <f aca="false">IF(OR(AND(B11&lt;=$B$5,C11&lt;=$B$6),AND(C11&lt;=$B$5,B11&lt;=$B$6)),"Yes","No — exceeds machine limit")</f>
        <v>Yes</v>
      </c>
      <c r="F11" s="19" t="n">
        <f aca="false">IF(E11="Yes",IF(AND(B11&lt;=$B$5,C11&lt;=$B$6),INT(D11/B11),INT(D11/C11)),0)</f>
        <v>2</v>
      </c>
      <c r="G11" s="19" t="n">
        <f aca="false">IF(E11="Yes",IF(AND(B11&lt;=$B$5,C11&lt;=$B$6),INT(100/C11),INT(100/B11)),0)</f>
        <v>5</v>
      </c>
      <c r="H11" s="20" t="n">
        <f aca="false">F11*G11</f>
        <v>10</v>
      </c>
      <c r="I11" s="11" t="s">
        <v>47</v>
      </c>
      <c r="J11" s="11" t="s">
        <v>48</v>
      </c>
      <c r="K11" s="15" t="n">
        <f aca="false">IFERROR(IF(H11&gt;0,INDEX('Material Costs'!$D$5:$D$19,MATCH(I11,'Material Costs'!$A$5:$A$19,0))/H11,"n/a"),"No match")</f>
        <v>9.5</v>
      </c>
      <c r="L11" s="11"/>
    </row>
    <row r="12" customFormat="false" ht="15" hidden="false" customHeight="false" outlineLevel="0" collapsed="false">
      <c r="A12" s="11" t="s">
        <v>117</v>
      </c>
      <c r="B12" s="18" t="n">
        <v>8</v>
      </c>
      <c r="C12" s="18" t="n">
        <v>6</v>
      </c>
      <c r="D12" s="18" t="n">
        <v>50</v>
      </c>
      <c r="E12" s="19" t="str">
        <f aca="false">IF(OR(AND(B12&lt;=$B$5,C12&lt;=$B$6),AND(C12&lt;=$B$5,B12&lt;=$B$6)),"Yes","No — exceeds machine limit")</f>
        <v>Yes</v>
      </c>
      <c r="F12" s="19" t="n">
        <f aca="false">IF(E12="Yes",IF(AND(B12&lt;=$B$5,C12&lt;=$B$6),INT(D12/B12),INT(D12/C12)),0)</f>
        <v>6</v>
      </c>
      <c r="G12" s="19" t="n">
        <f aca="false">IF(E12="Yes",IF(AND(B12&lt;=$B$5,C12&lt;=$B$6),INT(100/C12),INT(100/B12)),0)</f>
        <v>16</v>
      </c>
      <c r="H12" s="20" t="n">
        <f aca="false">F12*G12</f>
        <v>96</v>
      </c>
      <c r="I12" s="11" t="s">
        <v>50</v>
      </c>
      <c r="J12" s="11" t="s">
        <v>28</v>
      </c>
      <c r="K12" s="15" t="n">
        <f aca="false">IFERROR(IF(H12&gt;0,INDEX('Material Costs'!$D$5:$D$19,MATCH(I12,'Material Costs'!$A$5:$A$19,0))/H12,"n/a"),"No match")</f>
        <v>0.677083333333333</v>
      </c>
      <c r="L12" s="11"/>
    </row>
    <row r="13" customFormat="false" ht="15" hidden="false" customHeight="false" outlineLevel="0" collapsed="false">
      <c r="A13" s="11" t="s">
        <v>118</v>
      </c>
      <c r="B13" s="18" t="n">
        <v>10</v>
      </c>
      <c r="C13" s="18" t="n">
        <v>10</v>
      </c>
      <c r="D13" s="18" t="n">
        <v>60</v>
      </c>
      <c r="E13" s="19" t="str">
        <f aca="false">IF(OR(AND(B13&lt;=$B$5,C13&lt;=$B$6),AND(C13&lt;=$B$5,B13&lt;=$B$6)),"Yes","No — exceeds machine limit")</f>
        <v>Yes</v>
      </c>
      <c r="F13" s="19" t="n">
        <f aca="false">IF(E13="Yes",IF(AND(B13&lt;=$B$5,C13&lt;=$B$6),INT(D13/B13),INT(D13/C13)),0)</f>
        <v>6</v>
      </c>
      <c r="G13" s="19" t="n">
        <f aca="false">IF(E13="Yes",IF(AND(B13&lt;=$B$5,C13&lt;=$B$6),INT(100/C13),INT(100/B13)),0)</f>
        <v>10</v>
      </c>
      <c r="H13" s="20" t="n">
        <f aca="false">F13*G13</f>
        <v>60</v>
      </c>
      <c r="I13" s="11" t="s">
        <v>58</v>
      </c>
      <c r="J13" s="11" t="s">
        <v>59</v>
      </c>
      <c r="K13" s="15" t="n">
        <f aca="false">IFERROR(IF(H13&gt;0,INDEX('Material Costs'!$D$5:$D$19,MATCH(I13,'Material Costs'!$A$5:$A$19,0))/H13,"n/a"),"No match")</f>
        <v>0.916666666666667</v>
      </c>
      <c r="L13" s="11"/>
    </row>
    <row r="14" customFormat="false" ht="15" hidden="false" customHeight="false" outlineLevel="0" collapsed="false">
      <c r="A14" s="11" t="s">
        <v>119</v>
      </c>
      <c r="B14" s="18" t="n">
        <v>40</v>
      </c>
      <c r="C14" s="18" t="n">
        <v>25</v>
      </c>
      <c r="D14" s="18" t="n">
        <v>60</v>
      </c>
      <c r="E14" s="19" t="str">
        <f aca="false">IF(OR(AND(B14&lt;=$B$5,C14&lt;=$B$6),AND(C14&lt;=$B$5,B14&lt;=$B$6)),"Yes","No — exceeds machine limit")</f>
        <v>No — exceeds machine limit</v>
      </c>
      <c r="F14" s="19" t="n">
        <f aca="false">IF(E14="Yes",IF(AND(B14&lt;=$B$5,C14&lt;=$B$6),INT(D14/B14),INT(D14/C14)),0)</f>
        <v>0</v>
      </c>
      <c r="G14" s="19" t="n">
        <f aca="false">IF(E14="Yes",IF(AND(B14&lt;=$B$5,C14&lt;=$B$6),INT(100/C14),INT(100/B14)),0)</f>
        <v>0</v>
      </c>
      <c r="H14" s="20" t="n">
        <f aca="false">F14*G14</f>
        <v>0</v>
      </c>
      <c r="I14" s="11" t="s">
        <v>47</v>
      </c>
      <c r="J14" s="11" t="s">
        <v>48</v>
      </c>
      <c r="K14" s="15" t="str">
        <f aca="false">IFERROR(IF(H14&gt;0,INDEX('Material Costs'!$D$5:$D$19,MATCH(I14,'Material Costs'!$A$5:$A$19,0))/H14,"n/a"),"No match")</f>
        <v>n/a</v>
      </c>
      <c r="L14" s="11"/>
    </row>
    <row r="16" customFormat="false" ht="45" hidden="false" customHeight="true" outlineLevel="0" collapsed="false">
      <c r="A16" s="9" t="s">
        <v>120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</sheetData>
  <mergeCells count="5">
    <mergeCell ref="A1:L1"/>
    <mergeCell ref="A2:L2"/>
    <mergeCell ref="A4:B4"/>
    <mergeCell ref="A7:D7"/>
    <mergeCell ref="A16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2026-09-16T09:30:39Z</dcterms:created>
  <dc:creator>openpyxl</dc:creator>
  <dc:description/>
  <dc:language>en-US</dc:language>
  <cp:lastModifiedBy/>
  <dcterms:modified xsi:type="dcterms:W3CDTF">2026-09-16T09:30:39Z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